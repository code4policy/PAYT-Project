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k28/Development/PAYT-Project/data/"/>
    </mc:Choice>
  </mc:AlternateContent>
  <xr:revisionPtr revIDLastSave="0" documentId="13_ncr:1_{08978214-13CC-F54E-A9F3-284B5CC4DA01}" xr6:coauthVersionLast="47" xr6:coauthVersionMax="47" xr10:uidLastSave="{00000000-0000-0000-0000-000000000000}"/>
  <bookViews>
    <workbookView xWindow="0" yWindow="660" windowWidth="30240" windowHeight="18980" xr2:uid="{4779DEB5-6691-4B21-9352-12F09EEB24B6}"/>
  </bookViews>
  <sheets>
    <sheet name="Malden" sheetId="1" r:id="rId1"/>
    <sheet name="Neighb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J6" i="1"/>
</calcChain>
</file>

<file path=xl/sharedStrings.xml><?xml version="1.0" encoding="utf-8"?>
<sst xmlns="http://schemas.openxmlformats.org/spreadsheetml/2006/main" count="88" uniqueCount="60">
  <si>
    <t>2024 anticipated</t>
  </si>
  <si>
    <t xml:space="preserve">PAYT Bag Sales </t>
  </si>
  <si>
    <t>PAYT Trash Tag/Sticker Sales</t>
  </si>
  <si>
    <t>Total Revenue:</t>
  </si>
  <si>
    <t>Source of Revenue</t>
  </si>
  <si>
    <t>0010-434-4190 and 0010-434-4193</t>
  </si>
  <si>
    <t>0010-434-4194</t>
  </si>
  <si>
    <t>City/Town</t>
  </si>
  <si>
    <t>Medford</t>
  </si>
  <si>
    <t>Revere</t>
  </si>
  <si>
    <t>Melrose</t>
  </si>
  <si>
    <t>Lynn</t>
  </si>
  <si>
    <t>Saugus</t>
  </si>
  <si>
    <t>Stoneham</t>
  </si>
  <si>
    <t>Everett</t>
  </si>
  <si>
    <t>Fee Y/N</t>
  </si>
  <si>
    <t>Deficit Y/N</t>
  </si>
  <si>
    <t>Deficit</t>
  </si>
  <si>
    <t>Reading</t>
  </si>
  <si>
    <t>N</t>
  </si>
  <si>
    <t>Y</t>
  </si>
  <si>
    <t>Fee pa</t>
  </si>
  <si>
    <t>Malden</t>
  </si>
  <si>
    <t>$75 one barrel</t>
  </si>
  <si>
    <t>$2.06M</t>
  </si>
  <si>
    <t>$4.1M</t>
  </si>
  <si>
    <t>$4.5M pa cost, $400k in health violation program offset</t>
  </si>
  <si>
    <t>$255 per living unit</t>
  </si>
  <si>
    <t>$533k</t>
  </si>
  <si>
    <t>Budget line item of $215k underfunded by $318k total deficit $533k</t>
  </si>
  <si>
    <t>N/A</t>
  </si>
  <si>
    <t>$7.29M</t>
  </si>
  <si>
    <t>Comments - Its important to note that all cities and town funds trash removal with Gen Fund Revenue i.e. taxes</t>
  </si>
  <si>
    <t>FY25 went from Waste Management to Capitol</t>
  </si>
  <si>
    <t>$6.6M</t>
  </si>
  <si>
    <t>Regular Resident (1 trash/1 recycling)</t>
  </si>
  <si>
    <t>$108/year (trash fee)</t>
  </si>
  <si>
    <t>Extra Trash Barrel/Extra Recycling</t>
  </si>
  <si>
    <t>$108/year (trash fee) + $136 rental for the pair</t>
  </si>
  <si>
    <t>Extra trash barrel</t>
  </si>
  <si>
    <t>$54/year (trash fee) + $68 rental for cart</t>
  </si>
  <si>
    <t>                $122</t>
  </si>
  <si>
    <t>Extra recycle barrel</t>
  </si>
  <si>
    <t>See below</t>
  </si>
  <si>
    <t>$432 per household FY25  and forward was $200</t>
  </si>
  <si>
    <t>Contract updated last year and cost was extraordinary compared to the maturing contract. Automated pick up. Effective FY25 set up Enterprise fund. FY24 $60k surplus. New contract FY 25 costs more than doubled to $3.4M from $1.5M</t>
  </si>
  <si>
    <t>$2.4M</t>
  </si>
  <si>
    <t>Operate a hard and Recyclable incluidng compsit site with a revolving fund $10kdeficit in FY24</t>
  </si>
  <si>
    <t>?</t>
  </si>
  <si>
    <t>No response</t>
  </si>
  <si>
    <t>Talk about imlementing City barrels no other details available</t>
  </si>
  <si>
    <t>0010-434-4190</t>
  </si>
  <si>
    <t>Solid Waste Treas Bag Sales</t>
  </si>
  <si>
    <t>0010-434-4193</t>
  </si>
  <si>
    <t>0010-434-4195</t>
  </si>
  <si>
    <t>Fiscal Year 2022</t>
  </si>
  <si>
    <t>Fiscal Year 2023</t>
  </si>
  <si>
    <t>Fiscal Year 2024</t>
  </si>
  <si>
    <t>Trash Carts Revenue</t>
  </si>
  <si>
    <t>Fiscal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</si>
</sst>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70C0"/>
      <name val="Aptos"/>
      <family val="2"/>
    </font>
    <font>
      <b/>
      <sz val="12"/>
      <color rgb="FF0070C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6" fontId="2" fillId="0" borderId="2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6" fontId="2" fillId="0" borderId="4" xfId="0" applyNumberFormat="1" applyFont="1" applyBorder="1" applyAlignment="1">
      <alignment horizontal="right" vertical="center"/>
    </xf>
    <xf numFmtId="49" fontId="0" fillId="0" borderId="0" xfId="0" applyNumberFormat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/>
    <xf numFmtId="49" fontId="0" fillId="0" borderId="5" xfId="0" applyNumberFormat="1" applyBorder="1" applyAlignment="1">
      <alignment wrapText="1"/>
    </xf>
    <xf numFmtId="6" fontId="0" fillId="0" borderId="5" xfId="0" applyNumberFormat="1" applyBorder="1"/>
    <xf numFmtId="6" fontId="0" fillId="0" borderId="5" xfId="0" applyNumberFormat="1" applyBorder="1" applyAlignment="1">
      <alignment wrapText="1"/>
    </xf>
    <xf numFmtId="164" fontId="0" fillId="0" borderId="0" xfId="0" applyNumberFormat="1" applyAlignment="1">
      <alignment horizontal="right"/>
    </xf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48F0-A91C-47D9-B349-C795FF9F8D13}">
  <dimension ref="A1:K7"/>
  <sheetViews>
    <sheetView showGridLines="0" tabSelected="1" workbookViewId="0">
      <selection activeCell="G3" sqref="G3"/>
    </sheetView>
  </sheetViews>
  <sheetFormatPr baseColWidth="10" defaultColWidth="8.83203125" defaultRowHeight="15" x14ac:dyDescent="0.2"/>
  <cols>
    <col min="1" max="1" width="36.5" bestFit="1" customWidth="1"/>
    <col min="2" max="2" width="30.83203125" hidden="1" customWidth="1"/>
    <col min="3" max="5" width="20.5" hidden="1" customWidth="1"/>
    <col min="6" max="7" width="20.5" bestFit="1" customWidth="1"/>
    <col min="8" max="8" width="20.5" hidden="1" customWidth="1"/>
    <col min="9" max="10" width="20.5" customWidth="1"/>
    <col min="11" max="11" width="0" hidden="1" customWidth="1"/>
  </cols>
  <sheetData>
    <row r="1" spans="1:11" ht="15" customHeight="1" x14ac:dyDescent="0.2">
      <c r="A1" s="2" t="s">
        <v>4</v>
      </c>
      <c r="B1" s="2"/>
      <c r="C1" s="2">
        <v>2019</v>
      </c>
      <c r="D1" s="2">
        <v>2020</v>
      </c>
      <c r="E1" s="2">
        <v>2021</v>
      </c>
      <c r="F1" s="2" t="s">
        <v>55</v>
      </c>
      <c r="G1" s="2" t="s">
        <v>56</v>
      </c>
      <c r="H1" s="2" t="s">
        <v>0</v>
      </c>
      <c r="I1" s="2" t="s">
        <v>57</v>
      </c>
      <c r="J1" s="2" t="s">
        <v>59</v>
      </c>
    </row>
    <row r="2" spans="1:11" ht="15" customHeight="1" x14ac:dyDescent="0.2">
      <c r="A2" t="s">
        <v>52</v>
      </c>
      <c r="B2" s="2"/>
      <c r="C2" s="2"/>
      <c r="D2" s="2"/>
      <c r="E2" s="2"/>
      <c r="F2" s="15"/>
      <c r="G2" s="15"/>
      <c r="H2" s="15"/>
      <c r="I2" s="15">
        <v>6680</v>
      </c>
      <c r="J2" s="15">
        <v>11377.5</v>
      </c>
      <c r="K2" t="s">
        <v>53</v>
      </c>
    </row>
    <row r="3" spans="1:11" ht="15" customHeight="1" x14ac:dyDescent="0.2">
      <c r="A3" t="s">
        <v>58</v>
      </c>
      <c r="B3" s="2"/>
      <c r="C3" s="2"/>
      <c r="D3" s="2"/>
      <c r="E3" s="2"/>
      <c r="F3" s="15"/>
      <c r="G3" s="15"/>
      <c r="H3" s="15"/>
      <c r="I3" s="15">
        <v>11500</v>
      </c>
      <c r="J3" s="15">
        <v>17091.25</v>
      </c>
      <c r="K3" t="s">
        <v>54</v>
      </c>
    </row>
    <row r="4" spans="1:11" ht="15" customHeight="1" x14ac:dyDescent="0.2">
      <c r="A4" t="s">
        <v>1</v>
      </c>
      <c r="B4" t="s">
        <v>5</v>
      </c>
      <c r="C4" s="1">
        <v>1106608.79</v>
      </c>
      <c r="D4" s="1">
        <v>1446331.82</v>
      </c>
      <c r="E4" s="1">
        <v>1442605.45</v>
      </c>
      <c r="F4" s="15">
        <v>1083048.8999999999</v>
      </c>
      <c r="G4" s="15">
        <v>765569.67</v>
      </c>
      <c r="H4" s="15">
        <v>883519.17599999998</v>
      </c>
      <c r="I4" s="15">
        <v>805662.82</v>
      </c>
      <c r="J4" s="15">
        <v>594845.6</v>
      </c>
      <c r="K4" t="s">
        <v>51</v>
      </c>
    </row>
    <row r="5" spans="1:11" ht="15" customHeight="1" x14ac:dyDescent="0.2">
      <c r="A5" t="s">
        <v>2</v>
      </c>
      <c r="B5" t="s">
        <v>6</v>
      </c>
      <c r="C5" s="1">
        <v>0</v>
      </c>
      <c r="D5" s="1">
        <v>0</v>
      </c>
      <c r="E5" s="1">
        <v>28501.5</v>
      </c>
      <c r="F5" s="15">
        <v>437631.1</v>
      </c>
      <c r="G5" s="15">
        <v>469906.25</v>
      </c>
      <c r="H5" s="15">
        <v>550000</v>
      </c>
      <c r="I5" s="15">
        <v>534571.75</v>
      </c>
      <c r="J5" s="15">
        <v>589592.57999999996</v>
      </c>
      <c r="K5" t="s">
        <v>6</v>
      </c>
    </row>
    <row r="6" spans="1:11" ht="15" customHeight="1" x14ac:dyDescent="0.2">
      <c r="A6" s="16" t="s">
        <v>3</v>
      </c>
      <c r="B6" s="16"/>
      <c r="C6" s="17">
        <f>SUM(C4:C5)</f>
        <v>1106608.79</v>
      </c>
      <c r="D6" s="17">
        <f t="shared" ref="D6:J6" si="0">SUM(D4:D5)</f>
        <v>1446331.82</v>
      </c>
      <c r="E6" s="17">
        <f t="shared" si="0"/>
        <v>1471106.95</v>
      </c>
      <c r="F6" s="18">
        <f t="shared" si="0"/>
        <v>1520680</v>
      </c>
      <c r="G6" s="18">
        <f t="shared" si="0"/>
        <v>1235475.92</v>
      </c>
      <c r="H6" s="18">
        <f t="shared" si="0"/>
        <v>1433519.176</v>
      </c>
      <c r="I6" s="18">
        <f t="shared" si="0"/>
        <v>1340234.5699999998</v>
      </c>
      <c r="J6" s="18">
        <f t="shared" si="0"/>
        <v>1184438.18</v>
      </c>
    </row>
    <row r="7" spans="1:11" ht="15" customHeight="1" x14ac:dyDescent="0.2"/>
  </sheetData>
  <pageMargins left="0.7" right="0.7" top="0.75" bottom="0.75" header="0.3" footer="0.3"/>
  <pageSetup orientation="landscape" r:id="rId1"/>
  <ignoredErrors>
    <ignoredError sqref="I6:J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A408-23C0-4EE1-A466-41DEAC147A5A}">
  <sheetPr>
    <pageSetUpPr fitToPage="1"/>
  </sheetPr>
  <dimension ref="A1:F16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9.83203125" bestFit="1" customWidth="1"/>
    <col min="2" max="2" width="7.5" bestFit="1" customWidth="1"/>
    <col min="3" max="3" width="21.83203125" customWidth="1"/>
    <col min="4" max="4" width="23.83203125" customWidth="1"/>
    <col min="5" max="5" width="12.5" bestFit="1" customWidth="1"/>
    <col min="6" max="6" width="61.5" customWidth="1"/>
    <col min="8" max="8" width="38.33203125" bestFit="1" customWidth="1"/>
    <col min="9" max="9" width="45.6640625" bestFit="1" customWidth="1"/>
    <col min="10" max="10" width="12.5" bestFit="1" customWidth="1"/>
  </cols>
  <sheetData>
    <row r="1" spans="1:6" ht="32" x14ac:dyDescent="0.2">
      <c r="A1" s="11" t="s">
        <v>7</v>
      </c>
      <c r="B1" s="11" t="s">
        <v>15</v>
      </c>
      <c r="C1" s="11" t="s">
        <v>21</v>
      </c>
      <c r="D1" s="11" t="s">
        <v>16</v>
      </c>
      <c r="E1" s="11" t="s">
        <v>17</v>
      </c>
      <c r="F1" s="12" t="s">
        <v>32</v>
      </c>
    </row>
    <row r="2" spans="1:6" ht="16" x14ac:dyDescent="0.2">
      <c r="A2" s="11" t="s">
        <v>14</v>
      </c>
      <c r="B2" s="11" t="s">
        <v>19</v>
      </c>
      <c r="C2" s="11" t="s">
        <v>30</v>
      </c>
      <c r="D2" s="11" t="s">
        <v>20</v>
      </c>
      <c r="E2" s="11" t="s">
        <v>48</v>
      </c>
      <c r="F2" s="12" t="s">
        <v>49</v>
      </c>
    </row>
    <row r="3" spans="1:6" ht="16" x14ac:dyDescent="0.2">
      <c r="A3" s="11" t="s">
        <v>11</v>
      </c>
      <c r="B3" s="11" t="s">
        <v>20</v>
      </c>
      <c r="C3" s="11" t="s">
        <v>43</v>
      </c>
      <c r="D3" s="11" t="s">
        <v>20</v>
      </c>
      <c r="E3" s="11" t="s">
        <v>34</v>
      </c>
      <c r="F3" s="12" t="s">
        <v>33</v>
      </c>
    </row>
    <row r="4" spans="1:6" x14ac:dyDescent="0.2">
      <c r="A4" s="11" t="s">
        <v>22</v>
      </c>
      <c r="B4" s="11" t="s">
        <v>20</v>
      </c>
      <c r="C4" s="13" t="s">
        <v>23</v>
      </c>
      <c r="D4" s="11" t="s">
        <v>20</v>
      </c>
      <c r="E4" s="11" t="s">
        <v>24</v>
      </c>
      <c r="F4" s="12"/>
    </row>
    <row r="5" spans="1:6" x14ac:dyDescent="0.2">
      <c r="A5" s="11" t="s">
        <v>8</v>
      </c>
      <c r="B5" s="11" t="s">
        <v>19</v>
      </c>
      <c r="C5" s="11" t="s">
        <v>30</v>
      </c>
      <c r="D5" s="11" t="s">
        <v>20</v>
      </c>
      <c r="E5" s="11" t="s">
        <v>31</v>
      </c>
      <c r="F5" s="12"/>
    </row>
    <row r="6" spans="1:6" ht="48" x14ac:dyDescent="0.2">
      <c r="A6" s="11" t="s">
        <v>10</v>
      </c>
      <c r="B6" s="11" t="s">
        <v>20</v>
      </c>
      <c r="C6" s="14" t="s">
        <v>44</v>
      </c>
      <c r="D6" s="11"/>
      <c r="E6" s="11" t="s">
        <v>19</v>
      </c>
      <c r="F6" s="12" t="s">
        <v>45</v>
      </c>
    </row>
    <row r="7" spans="1:6" ht="16" x14ac:dyDescent="0.2">
      <c r="A7" s="11" t="s">
        <v>18</v>
      </c>
      <c r="B7" s="11" t="s">
        <v>19</v>
      </c>
      <c r="C7" s="11" t="s">
        <v>30</v>
      </c>
      <c r="D7" s="11" t="s">
        <v>20</v>
      </c>
      <c r="E7" s="11" t="s">
        <v>48</v>
      </c>
      <c r="F7" s="12" t="s">
        <v>50</v>
      </c>
    </row>
    <row r="8" spans="1:6" ht="16" x14ac:dyDescent="0.2">
      <c r="A8" s="11" t="s">
        <v>9</v>
      </c>
      <c r="B8" s="11" t="s">
        <v>19</v>
      </c>
      <c r="C8" s="11" t="s">
        <v>30</v>
      </c>
      <c r="D8" s="11" t="s">
        <v>20</v>
      </c>
      <c r="E8" s="11" t="s">
        <v>25</v>
      </c>
      <c r="F8" s="12" t="s">
        <v>26</v>
      </c>
    </row>
    <row r="9" spans="1:6" ht="32" x14ac:dyDescent="0.2">
      <c r="A9" s="11" t="s">
        <v>12</v>
      </c>
      <c r="B9" s="11" t="s">
        <v>19</v>
      </c>
      <c r="C9" s="11" t="s">
        <v>30</v>
      </c>
      <c r="D9" s="11" t="s">
        <v>20</v>
      </c>
      <c r="E9" s="11" t="s">
        <v>46</v>
      </c>
      <c r="F9" s="12" t="s">
        <v>47</v>
      </c>
    </row>
    <row r="10" spans="1:6" ht="16" x14ac:dyDescent="0.2">
      <c r="A10" s="11" t="s">
        <v>13</v>
      </c>
      <c r="B10" s="11" t="s">
        <v>20</v>
      </c>
      <c r="C10" s="11" t="s">
        <v>27</v>
      </c>
      <c r="D10" s="11" t="s">
        <v>20</v>
      </c>
      <c r="E10" s="11" t="s">
        <v>28</v>
      </c>
      <c r="F10" s="12" t="s">
        <v>29</v>
      </c>
    </row>
    <row r="11" spans="1:6" x14ac:dyDescent="0.2">
      <c r="F11" s="6"/>
    </row>
    <row r="12" spans="1:6" ht="16" thickBot="1" x14ac:dyDescent="0.25"/>
    <row r="13" spans="1:6" ht="33" thickBot="1" x14ac:dyDescent="0.25">
      <c r="A13" t="s">
        <v>11</v>
      </c>
      <c r="C13" s="7" t="s">
        <v>35</v>
      </c>
      <c r="D13" s="8" t="s">
        <v>36</v>
      </c>
      <c r="E13" s="3">
        <v>108</v>
      </c>
    </row>
    <row r="14" spans="1:6" ht="33" thickBot="1" x14ac:dyDescent="0.25">
      <c r="A14" t="s">
        <v>11</v>
      </c>
      <c r="C14" s="9" t="s">
        <v>37</v>
      </c>
      <c r="D14" s="10" t="s">
        <v>38</v>
      </c>
      <c r="E14" s="5">
        <v>244</v>
      </c>
    </row>
    <row r="15" spans="1:6" ht="33" thickBot="1" x14ac:dyDescent="0.25">
      <c r="A15" t="s">
        <v>11</v>
      </c>
      <c r="C15" s="9" t="s">
        <v>39</v>
      </c>
      <c r="D15" s="10" t="s">
        <v>40</v>
      </c>
      <c r="E15" s="4" t="s">
        <v>41</v>
      </c>
    </row>
    <row r="16" spans="1:6" ht="33" thickBot="1" x14ac:dyDescent="0.25">
      <c r="A16" t="s">
        <v>11</v>
      </c>
      <c r="C16" s="9" t="s">
        <v>42</v>
      </c>
      <c r="D16" s="10" t="s">
        <v>40</v>
      </c>
      <c r="E16" s="4" t="s">
        <v>41</v>
      </c>
    </row>
  </sheetData>
  <sortState xmlns:xlrd2="http://schemas.microsoft.com/office/spreadsheetml/2017/richdata2" ref="A2:A10">
    <sortCondition ref="A2:A10"/>
  </sortState>
  <pageMargins left="0.7" right="0.7" top="0.75" bottom="0.7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Malden</vt:lpstr>
      <vt:lpstr>Neighbors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Grover</dc:creator>
  <cp:lastModifiedBy>Karagozian, Brandon</cp:lastModifiedBy>
  <cp:lastPrinted>2024-10-29T14:12:32Z</cp:lastPrinted>
  <dcterms:created xsi:type="dcterms:W3CDTF">2024-05-15T13:46:52Z</dcterms:created>
  <dcterms:modified xsi:type="dcterms:W3CDTF">2026-01-14T16:03:16Z</dcterms:modified>
</cp:coreProperties>
</file>